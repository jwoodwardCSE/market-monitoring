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market-monitoring\"/>
    </mc:Choice>
  </mc:AlternateContent>
  <xr:revisionPtr revIDLastSave="0" documentId="13_ncr:1_{DE443E92-74F7-4025-AC4D-C914A938809D}" xr6:coauthVersionLast="47" xr6:coauthVersionMax="47" xr10:uidLastSave="{00000000-0000-0000-0000-000000000000}"/>
  <bookViews>
    <workbookView xWindow="-108" yWindow="-108" windowWidth="23256" windowHeight="12456" firstSheet="1" activeTab="1" xr2:uid="{40BEF6BB-2A1C-48DB-94A0-4465B7FDB552}"/>
  </bookViews>
  <sheets>
    <sheet name="Sheet1" sheetId="1" r:id="rId1"/>
    <sheet name="OVO_tariff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4" i="2" s="1"/>
  <c r="E18" i="2"/>
  <c r="E14" i="2"/>
  <c r="E12" i="2"/>
  <c r="E17" i="2" s="1"/>
  <c r="E11" i="2"/>
  <c r="E16" i="2" s="1"/>
  <c r="H41" i="2"/>
  <c r="H36" i="2"/>
  <c r="H23" i="2"/>
  <c r="H18" i="2"/>
  <c r="H14" i="2"/>
  <c r="H42" i="2" s="1"/>
  <c r="H12" i="2"/>
  <c r="H17" i="2" s="1"/>
  <c r="H11" i="2"/>
  <c r="H30" i="2" s="1"/>
  <c r="Q39" i="2"/>
  <c r="Q19" i="2"/>
  <c r="Q35" i="2" s="1"/>
  <c r="Q34" i="2"/>
  <c r="Q18" i="2"/>
  <c r="Q27" i="2"/>
  <c r="Q22" i="2"/>
  <c r="Q31" i="2" s="1"/>
  <c r="Q15" i="2"/>
  <c r="Q25" i="2" s="1"/>
  <c r="B18" i="2"/>
  <c r="N17" i="2"/>
  <c r="N10" i="2"/>
  <c r="N14" i="2" s="1"/>
  <c r="K21" i="2"/>
  <c r="K17" i="2"/>
  <c r="K15" i="2"/>
  <c r="K12" i="2"/>
  <c r="K16" i="2" s="1"/>
  <c r="B41" i="2"/>
  <c r="B36" i="2"/>
  <c r="B23" i="2"/>
  <c r="B14" i="2"/>
  <c r="B42" i="2" s="1"/>
  <c r="B12" i="2"/>
  <c r="B17" i="2" s="1"/>
  <c r="B11" i="2"/>
  <c r="B16" i="2" s="1"/>
  <c r="E19" i="2" l="1"/>
  <c r="E25" i="2"/>
  <c r="E30" i="2"/>
  <c r="E31" i="2" s="1"/>
  <c r="E33" i="2" s="1"/>
  <c r="Q20" i="2"/>
  <c r="H24" i="2"/>
  <c r="H35" i="2"/>
  <c r="H31" i="2"/>
  <c r="H33" i="2" s="1"/>
  <c r="H37" i="2" s="1"/>
  <c r="H16" i="2"/>
  <c r="H19" i="2" s="1"/>
  <c r="B19" i="2"/>
  <c r="B20" i="2" s="1"/>
  <c r="Q40" i="2"/>
  <c r="Q41" i="2" s="1"/>
  <c r="Q16" i="2"/>
  <c r="Q26" i="2" s="1"/>
  <c r="Q28" i="2" s="1"/>
  <c r="Q29" i="2" s="1"/>
  <c r="K22" i="2"/>
  <c r="Q36" i="2"/>
  <c r="K18" i="2"/>
  <c r="K23" i="2" s="1"/>
  <c r="N8" i="2"/>
  <c r="N9" i="2" s="1"/>
  <c r="N11" i="2" s="1"/>
  <c r="N16" i="2" s="1"/>
  <c r="K7" i="2"/>
  <c r="K8" i="2" s="1"/>
  <c r="K10" i="2" s="1"/>
  <c r="B24" i="2"/>
  <c r="B30" i="2"/>
  <c r="E20" i="2" l="1"/>
  <c r="E26" i="2"/>
  <c r="B26" i="2"/>
  <c r="H38" i="2"/>
  <c r="H44" i="2" s="1"/>
  <c r="N15" i="2"/>
  <c r="N18" i="2" s="1"/>
  <c r="N24" i="2" s="1"/>
  <c r="H26" i="2"/>
  <c r="H20" i="2"/>
  <c r="H25" i="2"/>
  <c r="K24" i="2"/>
  <c r="B25" i="2"/>
  <c r="B35" i="2"/>
  <c r="B31" i="2"/>
  <c r="N23" i="2" l="1"/>
  <c r="H43" i="2"/>
  <c r="B33" i="2"/>
  <c r="B37" i="2" s="1"/>
  <c r="B38" i="2" s="1"/>
  <c r="B44" i="2" l="1"/>
  <c r="B43" i="2"/>
</calcChain>
</file>

<file path=xl/sharedStrings.xml><?xml version="1.0" encoding="utf-8"?>
<sst xmlns="http://schemas.openxmlformats.org/spreadsheetml/2006/main" count="396" uniqueCount="152">
  <si>
    <t>Tariff name</t>
  </si>
  <si>
    <t>Description</t>
  </si>
  <si>
    <t>Persona?</t>
  </si>
  <si>
    <t>Price data</t>
  </si>
  <si>
    <t>Link</t>
  </si>
  <si>
    <t>Decision?</t>
  </si>
  <si>
    <t>Standard Tariffs</t>
  </si>
  <si>
    <t>Octopus 12M Fixed Feb 2024</t>
  </si>
  <si>
    <t>12 month fixed price contract, from Feb 2024</t>
  </si>
  <si>
    <t>All</t>
  </si>
  <si>
    <t>Octopus "get a quote" page, for BS3
Under "Historical" tab</t>
  </si>
  <si>
    <t>https://octopus.energy/tariffs/</t>
  </si>
  <si>
    <t>Use for baselining</t>
  </si>
  <si>
    <t>Octopus 12M Fixed Feb 2024 Economy 7</t>
  </si>
  <si>
    <t>12 month fixed price economy 7 contract, from Feb 2024</t>
  </si>
  <si>
    <t>p1</t>
  </si>
  <si>
    <t>Octopus 12M Fixed Nov 2024</t>
  </si>
  <si>
    <t>12 month fixed price contract, from Nov 2024</t>
  </si>
  <si>
    <t>Octopus 12M Fixed Nov 2024 Economy 7</t>
  </si>
  <si>
    <t>Export Tariffs</t>
  </si>
  <si>
    <t>Octopus SEG</t>
  </si>
  <si>
    <t>Export tariff</t>
  </si>
  <si>
    <t>p3</t>
  </si>
  <si>
    <t xml:space="preserve">£0.041 / kWh </t>
  </si>
  <si>
    <t>See octopus API</t>
  </si>
  <si>
    <t>Too old, not used</t>
  </si>
  <si>
    <t>Octopus Agile Outgoing</t>
  </si>
  <si>
    <t>TOU export tariff</t>
  </si>
  <si>
    <t>varies w/ wholesale</t>
  </si>
  <si>
    <t>Octopus Flux Outgoing</t>
  </si>
  <si>
    <t>Export prices for Octopus Flux tariff</t>
  </si>
  <si>
    <t>High and low windows</t>
  </si>
  <si>
    <t>Intelligent Octopus Flux Outgoing</t>
  </si>
  <si>
    <t>Export prices for Intelligent Octopus Flux tariff</t>
  </si>
  <si>
    <t>(Octopus) Fixed Outgoing</t>
  </si>
  <si>
    <t>Fixed rate outgoing tariff, used with intelligent go &amp; cosy. 
Optional for agile, tracker, flexible, fixed import</t>
  </si>
  <si>
    <t>£0.15 / kWh</t>
  </si>
  <si>
    <t>https://www.octopriceuk.app/fixedOutgoing</t>
  </si>
  <si>
    <t/>
  </si>
  <si>
    <t>(Octopus) Fixed Outgoing Lite</t>
  </si>
  <si>
    <t>Fixed rate outgoing tariff, used with octopus go only</t>
  </si>
  <si>
    <t>£0.08 / kWh</t>
  </si>
  <si>
    <t>Other tariffs</t>
  </si>
  <si>
    <t>Snug octopus</t>
  </si>
  <si>
    <t>Storage heater</t>
  </si>
  <si>
    <t>Available from november 2024</t>
  </si>
  <si>
    <t>Octopus go</t>
  </si>
  <si>
    <t>TOUT open to EV owners</t>
  </si>
  <si>
    <t>p3, p5</t>
  </si>
  <si>
    <t>Octopus API</t>
  </si>
  <si>
    <t>Intelligent octopus go</t>
  </si>
  <si>
    <t>Time + type of use tariff</t>
  </si>
  <si>
    <t>Requires external mgmt</t>
  </si>
  <si>
    <t>Cosy octopus</t>
  </si>
  <si>
    <t>TOUT open to HP owners</t>
  </si>
  <si>
    <t>p5</t>
  </si>
  <si>
    <t>Flexible octopus</t>
  </si>
  <si>
    <t>Variable rate tariff, changes with price cap</t>
  </si>
  <si>
    <t>Octopus Flux</t>
  </si>
  <si>
    <t>TOUT open to PV owners, pairs with Octopus Flux outgoing for export prices</t>
  </si>
  <si>
    <t>Needs battery</t>
  </si>
  <si>
    <t>Intelligent Octopus Flux</t>
  </si>
  <si>
    <t>TOUT open to PV owners, pairs with Octopus Intelligent Flux outgoing for export prices</t>
  </si>
  <si>
    <t>Needs battery, requires external mgmt</t>
  </si>
  <si>
    <t>Octopus Flexible PAYG</t>
  </si>
  <si>
    <t>Smart prepayment meter tariff</t>
  </si>
  <si>
    <t>p2</t>
  </si>
  <si>
    <t>Same prices as non-smart prepayment tariff</t>
  </si>
  <si>
    <t>Octopus Key and Card</t>
  </si>
  <si>
    <t>Non-smart prepayment tariff</t>
  </si>
  <si>
    <t>Same prices as smart prepayment tariff</t>
  </si>
  <si>
    <t>Bodgy tariffs</t>
  </si>
  <si>
    <t>BG 'PeakSave' Sundays</t>
  </si>
  <si>
    <t>1/2 price electricity on Sundays 11am-4pm</t>
  </si>
  <si>
    <t>Unavailable, uses standard tariffs as baseline</t>
  </si>
  <si>
    <t>https://www.britishgas.co.uk/energy/peak-save/sunday.html</t>
  </si>
  <si>
    <t>Bodged: used Octopus 12M fixed instead of BG unit cost</t>
  </si>
  <si>
    <t>OVO charge anytime</t>
  </si>
  <si>
    <t>Type of use EV tariff</t>
  </si>
  <si>
    <t>7p per kWh used on EV</t>
  </si>
  <si>
    <t>Bodged : total import PV+EV - total import EV only = total EV expenditure</t>
  </si>
  <si>
    <t>British gas dimplex economy 7</t>
  </si>
  <si>
    <t>Smart economy 7</t>
  </si>
  <si>
    <t>Price given for current night rate (9.9p) but otherwise unclear what daytime rate is
One person on MSE forums suggests its their standard variable rate</t>
  </si>
  <si>
    <t>https://www.britishgas.co.uk/energy/gas-and-electricity/dimplex-quantum-tariff.html#dimplex-eligibility</t>
  </si>
  <si>
    <t>Bodged: used Octopus 12M E7 day rates &amp; standing charges as not available</t>
  </si>
  <si>
    <t>Nick mentioned these</t>
  </si>
  <si>
    <t>Tomato lifestyle</t>
  </si>
  <si>
    <t>Tailored TOUT</t>
  </si>
  <si>
    <t>Indicative pricing for 2025
NA otherwise</t>
  </si>
  <si>
    <t>https://www.energy-review.co.uk/suppliers/tomato-energy-review/</t>
  </si>
  <si>
    <t>Eon Next Export Premium v2</t>
  </si>
  <si>
    <t>Installation-specific SEG</t>
  </si>
  <si>
    <t>25p per kWh</t>
  </si>
  <si>
    <t>https://www.eonenergy.com/newsroom/eon-next-launches-solar-export-tariff-rates.html</t>
  </si>
  <si>
    <t>EDF heat pump tracker</t>
  </si>
  <si>
    <t>Time of use heat pump tariff, with peak protection</t>
  </si>
  <si>
    <t>OVO Heat Pump Plus</t>
  </si>
  <si>
    <t>OVO Charge Anytime + Heat Pump Plus</t>
  </si>
  <si>
    <t>Nov 24 to Mar 25</t>
  </si>
  <si>
    <t>p/kwh EV</t>
  </si>
  <si>
    <t>p/kwh HP</t>
  </si>
  <si>
    <t>p/kwh OVO SEG Beyond Exclusive</t>
  </si>
  <si>
    <t>p/kwh normal</t>
  </si>
  <si>
    <t>standing charge</t>
  </si>
  <si>
    <t>total import</t>
  </si>
  <si>
    <t>VX total import</t>
  </si>
  <si>
    <t>EV import</t>
  </si>
  <si>
    <t>X total import</t>
  </si>
  <si>
    <t>non EV import</t>
  </si>
  <si>
    <t>VX total export</t>
  </si>
  <si>
    <t>HP import</t>
  </si>
  <si>
    <t>HP_VX total import</t>
  </si>
  <si>
    <t>non EV+HP import</t>
  </si>
  <si>
    <t>HP_PV total import</t>
  </si>
  <si>
    <t>HP_EV total import</t>
  </si>
  <si>
    <t>total non HP import</t>
  </si>
  <si>
    <t>Bills</t>
  </si>
  <si>
    <t>HP_EV total HP import</t>
  </si>
  <si>
    <t>st charge yearly</t>
  </si>
  <si>
    <t>HP bills</t>
  </si>
  <si>
    <t>EV bills</t>
  </si>
  <si>
    <t>Non-HP bills</t>
  </si>
  <si>
    <t>Non EV+HP bills</t>
  </si>
  <si>
    <t xml:space="preserve">non EV bills </t>
  </si>
  <si>
    <t>Standing charge</t>
  </si>
  <si>
    <t>export bills</t>
  </si>
  <si>
    <t>total bills</t>
  </si>
  <si>
    <t>Total bills</t>
  </si>
  <si>
    <t>HP_EV total non HP</t>
  </si>
  <si>
    <t>total  importbills</t>
  </si>
  <si>
    <t>HP_EV total non EV</t>
  </si>
  <si>
    <t>net bills</t>
  </si>
  <si>
    <t>vs baseline</t>
  </si>
  <si>
    <t>HP_EV total non HP non EV</t>
  </si>
  <si>
    <t>unit bills</t>
  </si>
  <si>
    <t>st charge (period)</t>
  </si>
  <si>
    <t>diff</t>
  </si>
  <si>
    <t>% diff</t>
  </si>
  <si>
    <t>VX bills</t>
  </si>
  <si>
    <t>diff %</t>
  </si>
  <si>
    <t>non-EV bills</t>
  </si>
  <si>
    <t>HP_EV</t>
  </si>
  <si>
    <t>total import bills</t>
  </si>
  <si>
    <t>HP_EV bills: baseline</t>
  </si>
  <si>
    <t>HP_EV bills: OVO charge anytime</t>
  </si>
  <si>
    <t>HP_EV non EV bills</t>
  </si>
  <si>
    <t>non EV+HP bills</t>
  </si>
  <si>
    <t>HP_EV bills: OVO Heat Pump Plus</t>
  </si>
  <si>
    <t>HP_EV non HP bills</t>
  </si>
  <si>
    <t>p/kwh OVO SEG Beyond Exclusive (new price)</t>
  </si>
  <si>
    <t>p/kwh OVO SEG Install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</si>
</sst>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0" fillId="0" borderId="0" xfId="0" quotePrefix="1" applyAlignment="1">
      <alignment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8D37-3EAF-4100-8B4F-D73162781826}">
  <dimension ref="A1:F112"/>
  <sheetViews>
    <sheetView zoomScale="85" zoomScaleNormal="85" workbookViewId="0">
      <pane ySplit="1" topLeftCell="A21" activePane="bottomLeft" state="frozen"/>
      <selection pane="bottomLeft" activeCell="F23" sqref="F23"/>
    </sheetView>
  </sheetViews>
  <sheetFormatPr defaultRowHeight="14.4" x14ac:dyDescent="0.3"/>
  <cols>
    <col min="1" max="1" width="36.33203125" style="3" customWidth="1"/>
    <col min="2" max="2" width="30.88671875" customWidth="1"/>
    <col min="3" max="3" width="10.88671875" customWidth="1"/>
    <col min="4" max="4" width="26.6640625" style="3" customWidth="1"/>
    <col min="5" max="5" width="19.5546875" customWidth="1"/>
    <col min="6" max="6" width="18.109375" customWidth="1"/>
  </cols>
  <sheetData>
    <row r="1" spans="1: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6</v>
      </c>
      <c r="D2"/>
    </row>
    <row r="3" spans="1:6" ht="43.2" x14ac:dyDescent="0.3">
      <c r="A3" s="3" t="s">
        <v>7</v>
      </c>
      <c r="B3" s="3" t="s">
        <v>8</v>
      </c>
      <c r="C3" t="s">
        <v>9</v>
      </c>
      <c r="D3" s="3" t="s">
        <v>10</v>
      </c>
      <c r="E3" t="s">
        <v>11</v>
      </c>
      <c r="F3" s="3" t="s">
        <v>12</v>
      </c>
    </row>
    <row r="4" spans="1:6" ht="43.2" x14ac:dyDescent="0.3">
      <c r="A4" s="3" t="s">
        <v>13</v>
      </c>
      <c r="B4" s="3" t="s">
        <v>14</v>
      </c>
      <c r="C4" t="s">
        <v>15</v>
      </c>
      <c r="D4" s="3" t="s">
        <v>10</v>
      </c>
      <c r="E4" t="s">
        <v>11</v>
      </c>
      <c r="F4" s="3" t="s">
        <v>12</v>
      </c>
    </row>
    <row r="5" spans="1:6" ht="43.2" x14ac:dyDescent="0.3">
      <c r="A5" s="3" t="s">
        <v>16</v>
      </c>
      <c r="B5" s="3" t="s">
        <v>17</v>
      </c>
      <c r="C5" t="s">
        <v>9</v>
      </c>
      <c r="D5" s="3" t="s">
        <v>10</v>
      </c>
      <c r="E5" t="s">
        <v>11</v>
      </c>
      <c r="F5" s="3" t="s">
        <v>12</v>
      </c>
    </row>
    <row r="6" spans="1:6" ht="43.2" x14ac:dyDescent="0.3">
      <c r="A6" s="3" t="s">
        <v>18</v>
      </c>
      <c r="B6" s="3" t="s">
        <v>14</v>
      </c>
      <c r="C6" t="s">
        <v>15</v>
      </c>
      <c r="D6" s="3" t="s">
        <v>10</v>
      </c>
      <c r="E6" t="s">
        <v>11</v>
      </c>
      <c r="F6" s="3" t="s">
        <v>12</v>
      </c>
    </row>
    <row r="7" spans="1:6" x14ac:dyDescent="0.3">
      <c r="B7" s="3"/>
    </row>
    <row r="8" spans="1:6" x14ac:dyDescent="0.3">
      <c r="A8" s="5" t="s">
        <v>19</v>
      </c>
      <c r="B8" s="6"/>
      <c r="C8" s="7"/>
      <c r="D8" s="6"/>
      <c r="E8" s="7"/>
      <c r="F8" s="7"/>
    </row>
    <row r="9" spans="1:6" x14ac:dyDescent="0.3">
      <c r="A9" s="3" t="s">
        <v>20</v>
      </c>
      <c r="B9" s="3" t="s">
        <v>21</v>
      </c>
      <c r="C9" t="s">
        <v>22</v>
      </c>
      <c r="D9" t="s">
        <v>23</v>
      </c>
      <c r="E9" t="s">
        <v>24</v>
      </c>
      <c r="F9" s="3" t="s">
        <v>25</v>
      </c>
    </row>
    <row r="10" spans="1:6" x14ac:dyDescent="0.3">
      <c r="A10" s="3" t="s">
        <v>26</v>
      </c>
      <c r="B10" s="3" t="s">
        <v>27</v>
      </c>
      <c r="C10" t="s">
        <v>22</v>
      </c>
      <c r="D10" s="3" t="s">
        <v>28</v>
      </c>
      <c r="E10" t="s">
        <v>24</v>
      </c>
    </row>
    <row r="11" spans="1:6" x14ac:dyDescent="0.3">
      <c r="A11" s="3" t="s">
        <v>29</v>
      </c>
      <c r="B11" s="3" t="s">
        <v>30</v>
      </c>
      <c r="C11" t="s">
        <v>22</v>
      </c>
      <c r="D11" s="3" t="s">
        <v>31</v>
      </c>
      <c r="E11" t="s">
        <v>24</v>
      </c>
    </row>
    <row r="12" spans="1:6" ht="28.8" x14ac:dyDescent="0.3">
      <c r="A12" s="3" t="s">
        <v>32</v>
      </c>
      <c r="B12" s="3" t="s">
        <v>33</v>
      </c>
      <c r="C12" t="s">
        <v>22</v>
      </c>
      <c r="D12" s="3" t="s">
        <v>31</v>
      </c>
      <c r="E12" t="s">
        <v>24</v>
      </c>
    </row>
    <row r="13" spans="1:6" ht="57.6" x14ac:dyDescent="0.3">
      <c r="A13" s="3" t="s">
        <v>34</v>
      </c>
      <c r="B13" s="3" t="s">
        <v>35</v>
      </c>
      <c r="C13" t="s">
        <v>22</v>
      </c>
      <c r="D13" s="3" t="s">
        <v>36</v>
      </c>
      <c r="E13" t="s">
        <v>37</v>
      </c>
      <c r="F13" s="2" t="s">
        <v>38</v>
      </c>
    </row>
    <row r="14" spans="1:6" ht="28.8" x14ac:dyDescent="0.3">
      <c r="A14" s="3" t="s">
        <v>39</v>
      </c>
      <c r="B14" s="3" t="s">
        <v>40</v>
      </c>
      <c r="C14" t="s">
        <v>22</v>
      </c>
      <c r="D14" s="3" t="s">
        <v>41</v>
      </c>
      <c r="E14" t="s">
        <v>37</v>
      </c>
      <c r="F14" s="2" t="s">
        <v>38</v>
      </c>
    </row>
    <row r="18" spans="1:6" x14ac:dyDescent="0.3">
      <c r="A18" s="5" t="s">
        <v>42</v>
      </c>
      <c r="B18" s="7"/>
      <c r="C18" s="7"/>
      <c r="D18" s="6"/>
      <c r="E18" s="7"/>
      <c r="F18" s="7"/>
    </row>
    <row r="19" spans="1:6" x14ac:dyDescent="0.3">
      <c r="A19" s="3" t="s">
        <v>43</v>
      </c>
      <c r="B19" s="3" t="s">
        <v>44</v>
      </c>
      <c r="C19" t="s">
        <v>15</v>
      </c>
      <c r="D19" s="3" t="s">
        <v>45</v>
      </c>
      <c r="E19" t="s">
        <v>24</v>
      </c>
    </row>
    <row r="20" spans="1:6" x14ac:dyDescent="0.3">
      <c r="A20" s="3" t="s">
        <v>46</v>
      </c>
      <c r="B20" s="3" t="s">
        <v>47</v>
      </c>
      <c r="C20" t="s">
        <v>48</v>
      </c>
      <c r="D20" s="3" t="s">
        <v>49</v>
      </c>
      <c r="E20" t="s">
        <v>24</v>
      </c>
    </row>
    <row r="21" spans="1:6" ht="28.8" x14ac:dyDescent="0.3">
      <c r="A21" s="3" t="s">
        <v>50</v>
      </c>
      <c r="B21" s="3" t="s">
        <v>51</v>
      </c>
      <c r="C21" t="s">
        <v>22</v>
      </c>
      <c r="D21" s="3" t="s">
        <v>49</v>
      </c>
      <c r="E21" t="s">
        <v>24</v>
      </c>
      <c r="F21" s="3" t="s">
        <v>52</v>
      </c>
    </row>
    <row r="22" spans="1:6" x14ac:dyDescent="0.3">
      <c r="A22" s="3" t="s">
        <v>53</v>
      </c>
      <c r="B22" s="3" t="s">
        <v>54</v>
      </c>
      <c r="C22" t="s">
        <v>55</v>
      </c>
      <c r="D22" s="3" t="s">
        <v>49</v>
      </c>
      <c r="E22" t="s">
        <v>24</v>
      </c>
    </row>
    <row r="23" spans="1:6" ht="28.8" x14ac:dyDescent="0.3">
      <c r="A23" s="3" t="s">
        <v>56</v>
      </c>
      <c r="B23" s="3" t="s">
        <v>57</v>
      </c>
      <c r="C23" t="s">
        <v>9</v>
      </c>
      <c r="D23" s="3" t="s">
        <v>49</v>
      </c>
      <c r="E23" t="s">
        <v>24</v>
      </c>
    </row>
    <row r="24" spans="1:6" ht="43.2" x14ac:dyDescent="0.3">
      <c r="A24" s="3" t="s">
        <v>58</v>
      </c>
      <c r="B24" s="3" t="s">
        <v>59</v>
      </c>
      <c r="C24" t="s">
        <v>22</v>
      </c>
      <c r="D24" s="3" t="s">
        <v>49</v>
      </c>
      <c r="E24" t="s">
        <v>24</v>
      </c>
      <c r="F24" s="3" t="s">
        <v>60</v>
      </c>
    </row>
    <row r="25" spans="1:6" ht="43.2" x14ac:dyDescent="0.3">
      <c r="A25" s="3" t="s">
        <v>61</v>
      </c>
      <c r="B25" s="3" t="s">
        <v>62</v>
      </c>
      <c r="C25" t="s">
        <v>22</v>
      </c>
      <c r="D25" s="3" t="s">
        <v>49</v>
      </c>
      <c r="E25" t="s">
        <v>24</v>
      </c>
      <c r="F25" s="3" t="s">
        <v>63</v>
      </c>
    </row>
    <row r="26" spans="1:6" x14ac:dyDescent="0.3">
      <c r="A26" s="3" t="s">
        <v>64</v>
      </c>
      <c r="B26" s="3" t="s">
        <v>65</v>
      </c>
      <c r="C26" t="s">
        <v>66</v>
      </c>
      <c r="D26" s="3" t="s">
        <v>49</v>
      </c>
      <c r="E26" t="s">
        <v>24</v>
      </c>
      <c r="F26" s="2" t="s">
        <v>67</v>
      </c>
    </row>
    <row r="27" spans="1:6" x14ac:dyDescent="0.3">
      <c r="A27" s="3" t="s">
        <v>68</v>
      </c>
      <c r="B27" s="3" t="s">
        <v>69</v>
      </c>
      <c r="C27" t="s">
        <v>66</v>
      </c>
      <c r="D27" s="3" t="s">
        <v>49</v>
      </c>
      <c r="E27" t="s">
        <v>24</v>
      </c>
      <c r="F27" s="2" t="s">
        <v>70</v>
      </c>
    </row>
    <row r="29" spans="1:6" x14ac:dyDescent="0.3">
      <c r="A29" s="5" t="s">
        <v>71</v>
      </c>
      <c r="B29" s="7"/>
      <c r="C29" s="7"/>
      <c r="D29" s="6"/>
      <c r="E29" s="7"/>
      <c r="F29" s="7"/>
    </row>
    <row r="30" spans="1:6" ht="57.6" x14ac:dyDescent="0.3">
      <c r="A30" s="3" t="s">
        <v>72</v>
      </c>
      <c r="B30" s="3" t="s">
        <v>73</v>
      </c>
      <c r="D30" s="3" t="s">
        <v>74</v>
      </c>
      <c r="E30" t="s">
        <v>75</v>
      </c>
      <c r="F30" s="3" t="s">
        <v>76</v>
      </c>
    </row>
    <row r="31" spans="1:6" ht="57.6" x14ac:dyDescent="0.3">
      <c r="A31" s="3" t="s">
        <v>77</v>
      </c>
      <c r="B31" s="3" t="s">
        <v>78</v>
      </c>
      <c r="C31" t="s">
        <v>48</v>
      </c>
      <c r="D31" s="3" t="s">
        <v>79</v>
      </c>
      <c r="F31" s="9" t="s">
        <v>80</v>
      </c>
    </row>
    <row r="32" spans="1:6" ht="100.8" x14ac:dyDescent="0.3">
      <c r="A32" s="3" t="s">
        <v>81</v>
      </c>
      <c r="B32" s="3" t="s">
        <v>82</v>
      </c>
      <c r="C32" t="s">
        <v>15</v>
      </c>
      <c r="D32" s="3" t="s">
        <v>83</v>
      </c>
      <c r="E32" t="s">
        <v>84</v>
      </c>
      <c r="F32" s="3" t="s">
        <v>85</v>
      </c>
    </row>
    <row r="34" spans="1:6" x14ac:dyDescent="0.3">
      <c r="A34" s="5" t="s">
        <v>86</v>
      </c>
      <c r="B34" s="7"/>
      <c r="C34" s="7"/>
      <c r="D34" s="6"/>
      <c r="E34" s="7"/>
      <c r="F34" s="8" t="s">
        <v>38</v>
      </c>
    </row>
    <row r="35" spans="1:6" ht="28.8" x14ac:dyDescent="0.3">
      <c r="A35" s="3" t="s">
        <v>87</v>
      </c>
      <c r="B35" s="3" t="s">
        <v>88</v>
      </c>
      <c r="C35" t="s">
        <v>66</v>
      </c>
      <c r="D35" s="3" t="s">
        <v>89</v>
      </c>
      <c r="E35" t="s">
        <v>90</v>
      </c>
      <c r="F35" s="2" t="s">
        <v>38</v>
      </c>
    </row>
    <row r="36" spans="1:6" x14ac:dyDescent="0.3">
      <c r="F36" s="2" t="s">
        <v>38</v>
      </c>
    </row>
    <row r="37" spans="1:6" x14ac:dyDescent="0.3">
      <c r="A37" s="3" t="s">
        <v>91</v>
      </c>
      <c r="B37" s="3" t="s">
        <v>92</v>
      </c>
      <c r="C37" t="s">
        <v>22</v>
      </c>
      <c r="D37" s="3" t="s">
        <v>93</v>
      </c>
      <c r="E37" t="s">
        <v>94</v>
      </c>
      <c r="F37" s="2" t="s">
        <v>38</v>
      </c>
    </row>
    <row r="39" spans="1:6" ht="28.8" x14ac:dyDescent="0.3">
      <c r="A39" s="3" t="s">
        <v>95</v>
      </c>
      <c r="B39" s="3" t="s">
        <v>96</v>
      </c>
      <c r="C39" t="s">
        <v>55</v>
      </c>
    </row>
    <row r="41" spans="1:6" x14ac:dyDescent="0.3">
      <c r="B41" s="3"/>
      <c r="F41" s="2" t="s">
        <v>38</v>
      </c>
    </row>
    <row r="42" spans="1:6" x14ac:dyDescent="0.3">
      <c r="B42" s="3"/>
      <c r="F42" s="2" t="s">
        <v>38</v>
      </c>
    </row>
    <row r="43" spans="1:6" x14ac:dyDescent="0.3">
      <c r="B43" s="3"/>
      <c r="F43" s="2" t="s">
        <v>38</v>
      </c>
    </row>
    <row r="44" spans="1:6" x14ac:dyDescent="0.3">
      <c r="B44" s="3"/>
      <c r="F44" s="2" t="s">
        <v>38</v>
      </c>
    </row>
    <row r="45" spans="1:6" x14ac:dyDescent="0.3">
      <c r="B45" s="3"/>
      <c r="F45" s="2" t="s">
        <v>38</v>
      </c>
    </row>
    <row r="46" spans="1:6" x14ac:dyDescent="0.3">
      <c r="B46" s="3"/>
      <c r="F46" s="2" t="s">
        <v>38</v>
      </c>
    </row>
    <row r="47" spans="1:6" x14ac:dyDescent="0.3">
      <c r="B47" s="3"/>
      <c r="F47" s="2" t="s">
        <v>38</v>
      </c>
    </row>
    <row r="48" spans="1:6" x14ac:dyDescent="0.3">
      <c r="B48" s="3"/>
      <c r="F48" s="2" t="s">
        <v>38</v>
      </c>
    </row>
    <row r="49" spans="2:6" x14ac:dyDescent="0.3">
      <c r="B49" s="3"/>
      <c r="D49"/>
      <c r="F49" s="2" t="s">
        <v>38</v>
      </c>
    </row>
    <row r="50" spans="2:6" x14ac:dyDescent="0.3">
      <c r="B50" s="3"/>
      <c r="F50" s="2" t="s">
        <v>38</v>
      </c>
    </row>
    <row r="51" spans="2:6" x14ac:dyDescent="0.3">
      <c r="B51" s="3"/>
      <c r="F51" s="2" t="s">
        <v>38</v>
      </c>
    </row>
    <row r="52" spans="2:6" x14ac:dyDescent="0.3">
      <c r="B52" s="3"/>
      <c r="F52" s="2" t="s">
        <v>38</v>
      </c>
    </row>
    <row r="53" spans="2:6" x14ac:dyDescent="0.3">
      <c r="B53" s="3"/>
      <c r="F53" s="2" t="s">
        <v>38</v>
      </c>
    </row>
    <row r="54" spans="2:6" x14ac:dyDescent="0.3">
      <c r="B54" s="3"/>
      <c r="F54" s="2" t="s">
        <v>38</v>
      </c>
    </row>
    <row r="55" spans="2:6" x14ac:dyDescent="0.3">
      <c r="B55" s="3"/>
      <c r="F55" s="2" t="s">
        <v>38</v>
      </c>
    </row>
    <row r="56" spans="2:6" x14ac:dyDescent="0.3">
      <c r="B56" s="3"/>
      <c r="F56" s="2" t="s">
        <v>38</v>
      </c>
    </row>
    <row r="57" spans="2:6" x14ac:dyDescent="0.3">
      <c r="B57" s="3"/>
      <c r="F57" s="2" t="s">
        <v>38</v>
      </c>
    </row>
    <row r="58" spans="2:6" x14ac:dyDescent="0.3">
      <c r="B58" s="3"/>
      <c r="F58" s="2" t="s">
        <v>38</v>
      </c>
    </row>
    <row r="59" spans="2:6" x14ac:dyDescent="0.3">
      <c r="B59" s="3"/>
      <c r="F59" s="2" t="s">
        <v>38</v>
      </c>
    </row>
    <row r="60" spans="2:6" x14ac:dyDescent="0.3">
      <c r="B60" s="3"/>
      <c r="F60" s="2" t="s">
        <v>38</v>
      </c>
    </row>
    <row r="61" spans="2:6" x14ac:dyDescent="0.3">
      <c r="B61" s="3"/>
      <c r="F61" s="2" t="s">
        <v>38</v>
      </c>
    </row>
    <row r="62" spans="2:6" x14ac:dyDescent="0.3">
      <c r="B62" s="3"/>
      <c r="F62" s="2" t="s">
        <v>38</v>
      </c>
    </row>
    <row r="63" spans="2:6" x14ac:dyDescent="0.3">
      <c r="B63" s="3"/>
      <c r="F63" s="2" t="s">
        <v>38</v>
      </c>
    </row>
    <row r="64" spans="2:6" x14ac:dyDescent="0.3">
      <c r="B64" s="3"/>
      <c r="F64" s="2" t="s">
        <v>38</v>
      </c>
    </row>
    <row r="65" spans="2:6" x14ac:dyDescent="0.3">
      <c r="B65" s="3"/>
      <c r="F65" s="2" t="s">
        <v>38</v>
      </c>
    </row>
    <row r="66" spans="2:6" x14ac:dyDescent="0.3">
      <c r="B66" s="3"/>
      <c r="F66" s="2" t="s">
        <v>38</v>
      </c>
    </row>
    <row r="67" spans="2:6" x14ac:dyDescent="0.3">
      <c r="B67" s="3"/>
      <c r="F67" s="2" t="s">
        <v>38</v>
      </c>
    </row>
    <row r="68" spans="2:6" x14ac:dyDescent="0.3">
      <c r="B68" s="3"/>
      <c r="F68" s="2" t="s">
        <v>38</v>
      </c>
    </row>
    <row r="69" spans="2:6" x14ac:dyDescent="0.3">
      <c r="B69" s="3"/>
      <c r="F69" s="2" t="s">
        <v>38</v>
      </c>
    </row>
    <row r="70" spans="2:6" x14ac:dyDescent="0.3">
      <c r="B70" s="3"/>
      <c r="F70" s="2" t="s">
        <v>38</v>
      </c>
    </row>
    <row r="71" spans="2:6" x14ac:dyDescent="0.3">
      <c r="B71" s="3"/>
      <c r="F71" s="2" t="s">
        <v>38</v>
      </c>
    </row>
    <row r="72" spans="2:6" x14ac:dyDescent="0.3">
      <c r="B72" s="3"/>
      <c r="F72" s="2" t="s">
        <v>38</v>
      </c>
    </row>
    <row r="73" spans="2:6" x14ac:dyDescent="0.3">
      <c r="B73" s="3"/>
      <c r="F73" s="2" t="s">
        <v>38</v>
      </c>
    </row>
    <row r="74" spans="2:6" x14ac:dyDescent="0.3">
      <c r="B74" s="3"/>
      <c r="F74" s="2" t="s">
        <v>38</v>
      </c>
    </row>
    <row r="75" spans="2:6" x14ac:dyDescent="0.3">
      <c r="B75" s="3"/>
      <c r="F75" s="2" t="s">
        <v>38</v>
      </c>
    </row>
    <row r="76" spans="2:6" x14ac:dyDescent="0.3">
      <c r="F76" s="2" t="s">
        <v>38</v>
      </c>
    </row>
    <row r="77" spans="2:6" x14ac:dyDescent="0.3">
      <c r="F77" s="2" t="s">
        <v>38</v>
      </c>
    </row>
    <row r="78" spans="2:6" x14ac:dyDescent="0.3">
      <c r="F78" s="2" t="s">
        <v>38</v>
      </c>
    </row>
    <row r="79" spans="2:6" x14ac:dyDescent="0.3">
      <c r="F79" s="2" t="s">
        <v>38</v>
      </c>
    </row>
    <row r="80" spans="2:6" x14ac:dyDescent="0.3">
      <c r="F80" s="2" t="s">
        <v>38</v>
      </c>
    </row>
    <row r="81" spans="6:6" x14ac:dyDescent="0.3">
      <c r="F81" s="2" t="s">
        <v>38</v>
      </c>
    </row>
    <row r="82" spans="6:6" x14ac:dyDescent="0.3">
      <c r="F82" s="2" t="s">
        <v>38</v>
      </c>
    </row>
    <row r="83" spans="6:6" x14ac:dyDescent="0.3">
      <c r="F83" s="2" t="s">
        <v>38</v>
      </c>
    </row>
    <row r="84" spans="6:6" x14ac:dyDescent="0.3">
      <c r="F84" s="2" t="s">
        <v>38</v>
      </c>
    </row>
    <row r="85" spans="6:6" x14ac:dyDescent="0.3">
      <c r="F85" s="2" t="s">
        <v>38</v>
      </c>
    </row>
    <row r="86" spans="6:6" x14ac:dyDescent="0.3">
      <c r="F86" s="2" t="s">
        <v>38</v>
      </c>
    </row>
    <row r="87" spans="6:6" x14ac:dyDescent="0.3">
      <c r="F87" s="2" t="s">
        <v>38</v>
      </c>
    </row>
    <row r="88" spans="6:6" x14ac:dyDescent="0.3">
      <c r="F88" s="2" t="s">
        <v>38</v>
      </c>
    </row>
    <row r="89" spans="6:6" x14ac:dyDescent="0.3">
      <c r="F89" s="2" t="s">
        <v>38</v>
      </c>
    </row>
    <row r="90" spans="6:6" x14ac:dyDescent="0.3">
      <c r="F90" s="2" t="s">
        <v>38</v>
      </c>
    </row>
    <row r="91" spans="6:6" x14ac:dyDescent="0.3">
      <c r="F91" s="2" t="s">
        <v>38</v>
      </c>
    </row>
    <row r="92" spans="6:6" x14ac:dyDescent="0.3">
      <c r="F92" s="2" t="s">
        <v>38</v>
      </c>
    </row>
    <row r="93" spans="6:6" x14ac:dyDescent="0.3">
      <c r="F93" s="2" t="s">
        <v>38</v>
      </c>
    </row>
    <row r="94" spans="6:6" x14ac:dyDescent="0.3">
      <c r="F94" s="2" t="s">
        <v>38</v>
      </c>
    </row>
    <row r="95" spans="6:6" x14ac:dyDescent="0.3">
      <c r="F95" s="2" t="s">
        <v>38</v>
      </c>
    </row>
    <row r="96" spans="6:6" x14ac:dyDescent="0.3">
      <c r="F96" s="2" t="s">
        <v>38</v>
      </c>
    </row>
    <row r="97" spans="6:6" x14ac:dyDescent="0.3">
      <c r="F97" s="2" t="s">
        <v>38</v>
      </c>
    </row>
    <row r="98" spans="6:6" x14ac:dyDescent="0.3">
      <c r="F98" s="2" t="s">
        <v>38</v>
      </c>
    </row>
    <row r="99" spans="6:6" x14ac:dyDescent="0.3">
      <c r="F99" s="2" t="s">
        <v>38</v>
      </c>
    </row>
    <row r="100" spans="6:6" x14ac:dyDescent="0.3">
      <c r="F100" s="2" t="s">
        <v>38</v>
      </c>
    </row>
    <row r="101" spans="6:6" x14ac:dyDescent="0.3">
      <c r="F101" s="2" t="s">
        <v>38</v>
      </c>
    </row>
    <row r="102" spans="6:6" x14ac:dyDescent="0.3">
      <c r="F102" s="2" t="s">
        <v>38</v>
      </c>
    </row>
    <row r="103" spans="6:6" x14ac:dyDescent="0.3">
      <c r="F103" s="2" t="s">
        <v>38</v>
      </c>
    </row>
    <row r="104" spans="6:6" x14ac:dyDescent="0.3">
      <c r="F104" s="2" t="s">
        <v>38</v>
      </c>
    </row>
    <row r="105" spans="6:6" x14ac:dyDescent="0.3">
      <c r="F105" s="2" t="s">
        <v>38</v>
      </c>
    </row>
    <row r="106" spans="6:6" x14ac:dyDescent="0.3">
      <c r="F106" s="2" t="s">
        <v>38</v>
      </c>
    </row>
    <row r="107" spans="6:6" x14ac:dyDescent="0.3">
      <c r="F107" s="2" t="s">
        <v>38</v>
      </c>
    </row>
    <row r="108" spans="6:6" x14ac:dyDescent="0.3">
      <c r="F108" s="2" t="s">
        <v>38</v>
      </c>
    </row>
    <row r="109" spans="6:6" x14ac:dyDescent="0.3">
      <c r="F109" s="2" t="s">
        <v>38</v>
      </c>
    </row>
    <row r="110" spans="6:6" x14ac:dyDescent="0.3">
      <c r="F110" s="2" t="s">
        <v>38</v>
      </c>
    </row>
    <row r="111" spans="6:6" x14ac:dyDescent="0.3">
      <c r="F111" s="2" t="s">
        <v>38</v>
      </c>
    </row>
    <row r="112" spans="6:6" x14ac:dyDescent="0.3">
      <c r="F112" s="2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F0B-BFB2-482D-A83E-5D0757B2AD6D}">
  <dimension ref="A1:Q44"/>
  <sheetViews>
    <sheetView tabSelected="1" workbookViewId="0">
      <selection activeCell="G4" sqref="G4"/>
    </sheetView>
  </sheetViews>
  <sheetFormatPr defaultRowHeight="14.4" x14ac:dyDescent="0.3"/>
  <cols>
    <col min="1" max="1" width="18.5546875" bestFit="1" customWidth="1"/>
    <col min="10" max="10" width="21.44140625" customWidth="1"/>
    <col min="13" max="13" width="19" customWidth="1"/>
    <col min="16" max="16" width="30.88671875" customWidth="1"/>
  </cols>
  <sheetData>
    <row r="1" spans="1:17" x14ac:dyDescent="0.3">
      <c r="A1" s="1" t="s">
        <v>77</v>
      </c>
      <c r="D1" s="1" t="s">
        <v>77</v>
      </c>
      <c r="G1" s="1" t="s">
        <v>77</v>
      </c>
      <c r="J1" s="1" t="s">
        <v>97</v>
      </c>
      <c r="M1" s="1" t="s">
        <v>98</v>
      </c>
      <c r="P1" s="1" t="s">
        <v>99</v>
      </c>
    </row>
    <row r="2" spans="1:17" x14ac:dyDescent="0.3">
      <c r="A2" t="s">
        <v>100</v>
      </c>
      <c r="B2">
        <v>7.0000000000000007E-2</v>
      </c>
      <c r="D2" t="s">
        <v>100</v>
      </c>
      <c r="E2">
        <v>7.0000000000000007E-2</v>
      </c>
      <c r="G2" t="s">
        <v>100</v>
      </c>
      <c r="H2">
        <v>7.0000000000000007E-2</v>
      </c>
      <c r="J2" t="s">
        <v>101</v>
      </c>
      <c r="K2">
        <v>0.15</v>
      </c>
      <c r="M2" t="s">
        <v>100</v>
      </c>
      <c r="N2">
        <v>7.0000000000000007E-2</v>
      </c>
      <c r="P2" t="s">
        <v>100</v>
      </c>
      <c r="Q2">
        <v>7.0000000000000007E-2</v>
      </c>
    </row>
    <row r="3" spans="1:17" x14ac:dyDescent="0.3">
      <c r="A3" t="s">
        <v>102</v>
      </c>
      <c r="B3">
        <v>0.14000000000000001</v>
      </c>
      <c r="D3" t="s">
        <v>150</v>
      </c>
      <c r="E3">
        <v>0.12</v>
      </c>
      <c r="G3" t="s">
        <v>151</v>
      </c>
      <c r="H3">
        <v>0.15</v>
      </c>
      <c r="J3" t="s">
        <v>103</v>
      </c>
      <c r="K3">
        <v>0.27</v>
      </c>
      <c r="M3" t="s">
        <v>101</v>
      </c>
      <c r="N3">
        <v>0.15</v>
      </c>
      <c r="P3" t="s">
        <v>101</v>
      </c>
      <c r="Q3">
        <v>0.15</v>
      </c>
    </row>
    <row r="4" spans="1:17" x14ac:dyDescent="0.3">
      <c r="A4" t="s">
        <v>103</v>
      </c>
      <c r="B4">
        <v>0.27</v>
      </c>
      <c r="D4" t="s">
        <v>103</v>
      </c>
      <c r="E4">
        <v>0.27</v>
      </c>
      <c r="G4" t="s">
        <v>103</v>
      </c>
      <c r="H4">
        <v>0.27</v>
      </c>
      <c r="J4" t="s">
        <v>104</v>
      </c>
      <c r="K4">
        <v>0.53</v>
      </c>
      <c r="M4" t="s">
        <v>103</v>
      </c>
      <c r="N4">
        <v>0.27</v>
      </c>
      <c r="P4" t="s">
        <v>102</v>
      </c>
      <c r="Q4">
        <v>0.14000000000000001</v>
      </c>
    </row>
    <row r="5" spans="1:17" x14ac:dyDescent="0.3">
      <c r="A5" t="s">
        <v>104</v>
      </c>
      <c r="B5">
        <v>0.53</v>
      </c>
      <c r="D5" t="s">
        <v>104</v>
      </c>
      <c r="E5">
        <v>0.53</v>
      </c>
      <c r="G5" t="s">
        <v>104</v>
      </c>
      <c r="H5">
        <v>0.53</v>
      </c>
      <c r="M5" t="s">
        <v>104</v>
      </c>
      <c r="N5">
        <v>0.53</v>
      </c>
      <c r="P5" t="s">
        <v>103</v>
      </c>
      <c r="Q5">
        <v>0.27</v>
      </c>
    </row>
    <row r="6" spans="1:17" x14ac:dyDescent="0.3">
      <c r="J6" t="s">
        <v>105</v>
      </c>
      <c r="K6">
        <v>7663</v>
      </c>
      <c r="P6" t="s">
        <v>104</v>
      </c>
      <c r="Q6">
        <v>0.53</v>
      </c>
    </row>
    <row r="7" spans="1:17" x14ac:dyDescent="0.3">
      <c r="A7" t="s">
        <v>106</v>
      </c>
      <c r="B7">
        <v>5391</v>
      </c>
      <c r="D7" t="s">
        <v>106</v>
      </c>
      <c r="E7">
        <v>5391</v>
      </c>
      <c r="G7" t="s">
        <v>106</v>
      </c>
      <c r="H7">
        <v>5391</v>
      </c>
      <c r="J7" t="s">
        <v>107</v>
      </c>
      <c r="K7">
        <f>B11</f>
        <v>2261</v>
      </c>
      <c r="M7" t="s">
        <v>105</v>
      </c>
      <c r="N7">
        <v>9656</v>
      </c>
    </row>
    <row r="8" spans="1:17" x14ac:dyDescent="0.3">
      <c r="A8" t="s">
        <v>108</v>
      </c>
      <c r="B8">
        <v>3130</v>
      </c>
      <c r="D8" t="s">
        <v>108</v>
      </c>
      <c r="E8">
        <v>3130</v>
      </c>
      <c r="G8" t="s">
        <v>108</v>
      </c>
      <c r="H8">
        <v>3130</v>
      </c>
      <c r="J8" t="s">
        <v>109</v>
      </c>
      <c r="K8">
        <f>K6-K7</f>
        <v>5402</v>
      </c>
      <c r="M8" t="s">
        <v>107</v>
      </c>
      <c r="N8">
        <f>B11</f>
        <v>2261</v>
      </c>
      <c r="P8" t="s">
        <v>106</v>
      </c>
      <c r="Q8">
        <v>2941</v>
      </c>
    </row>
    <row r="9" spans="1:17" x14ac:dyDescent="0.3">
      <c r="A9" t="s">
        <v>110</v>
      </c>
      <c r="B9">
        <v>1630</v>
      </c>
      <c r="D9" t="s">
        <v>110</v>
      </c>
      <c r="E9">
        <v>1630</v>
      </c>
      <c r="G9" t="s">
        <v>110</v>
      </c>
      <c r="H9">
        <v>1630</v>
      </c>
      <c r="J9" t="s">
        <v>111</v>
      </c>
      <c r="K9">
        <v>3210</v>
      </c>
      <c r="M9" t="s">
        <v>109</v>
      </c>
      <c r="N9">
        <f>N7-N8</f>
        <v>7395</v>
      </c>
      <c r="P9" t="s">
        <v>112</v>
      </c>
      <c r="Q9">
        <v>5143</v>
      </c>
    </row>
    <row r="10" spans="1:17" x14ac:dyDescent="0.3">
      <c r="J10" t="s">
        <v>113</v>
      </c>
      <c r="K10">
        <f>K8-K9</f>
        <v>2192</v>
      </c>
      <c r="M10" t="s">
        <v>111</v>
      </c>
      <c r="N10">
        <f>8601-5391</f>
        <v>3210</v>
      </c>
      <c r="P10" t="s">
        <v>114</v>
      </c>
      <c r="Q10">
        <v>3928.66</v>
      </c>
    </row>
    <row r="11" spans="1:17" x14ac:dyDescent="0.3">
      <c r="A11" t="s">
        <v>107</v>
      </c>
      <c r="B11">
        <f>B7-B8</f>
        <v>2261</v>
      </c>
      <c r="D11" t="s">
        <v>107</v>
      </c>
      <c r="E11">
        <f>E7-E8</f>
        <v>2261</v>
      </c>
      <c r="G11" t="s">
        <v>107</v>
      </c>
      <c r="H11">
        <f>H7-H8</f>
        <v>2261</v>
      </c>
      <c r="M11" t="s">
        <v>113</v>
      </c>
      <c r="N11">
        <f>N9-N10</f>
        <v>4185</v>
      </c>
      <c r="P11" t="s">
        <v>115</v>
      </c>
      <c r="Q11">
        <v>5299</v>
      </c>
    </row>
    <row r="12" spans="1:17" x14ac:dyDescent="0.3">
      <c r="A12" t="s">
        <v>109</v>
      </c>
      <c r="B12">
        <f>B8</f>
        <v>3130</v>
      </c>
      <c r="D12" t="s">
        <v>109</v>
      </c>
      <c r="E12">
        <f>E8</f>
        <v>3130</v>
      </c>
      <c r="G12" t="s">
        <v>109</v>
      </c>
      <c r="H12">
        <f>H8</f>
        <v>3130</v>
      </c>
      <c r="J12" t="s">
        <v>116</v>
      </c>
      <c r="K12">
        <f>K6-K9</f>
        <v>4453</v>
      </c>
      <c r="P12" t="s">
        <v>110</v>
      </c>
      <c r="Q12">
        <v>346.3</v>
      </c>
    </row>
    <row r="13" spans="1:17" x14ac:dyDescent="0.3">
      <c r="M13" t="s">
        <v>117</v>
      </c>
      <c r="P13" t="s">
        <v>118</v>
      </c>
      <c r="Q13">
        <v>2202</v>
      </c>
    </row>
    <row r="14" spans="1:17" x14ac:dyDescent="0.3">
      <c r="A14" t="s">
        <v>119</v>
      </c>
      <c r="B14">
        <f>B5*365</f>
        <v>193.45000000000002</v>
      </c>
      <c r="D14" t="s">
        <v>119</v>
      </c>
      <c r="E14">
        <f>E5*365</f>
        <v>193.45000000000002</v>
      </c>
      <c r="G14" t="s">
        <v>119</v>
      </c>
      <c r="H14">
        <f>H5*365</f>
        <v>193.45000000000002</v>
      </c>
      <c r="J14" t="s">
        <v>117</v>
      </c>
      <c r="M14" t="s">
        <v>120</v>
      </c>
      <c r="N14" s="10">
        <f>N10*N3</f>
        <v>481.5</v>
      </c>
    </row>
    <row r="15" spans="1:17" x14ac:dyDescent="0.3">
      <c r="J15" t="s">
        <v>120</v>
      </c>
      <c r="K15">
        <f>K9*K2</f>
        <v>481.5</v>
      </c>
      <c r="M15" t="s">
        <v>121</v>
      </c>
      <c r="N15" s="10">
        <f>N8*N2</f>
        <v>158.27000000000001</v>
      </c>
      <c r="P15" t="s">
        <v>107</v>
      </c>
      <c r="Q15">
        <f>Q9-Q10</f>
        <v>1214.3400000000001</v>
      </c>
    </row>
    <row r="16" spans="1:17" x14ac:dyDescent="0.3">
      <c r="A16" t="s">
        <v>121</v>
      </c>
      <c r="B16">
        <f>B11*0.07</f>
        <v>158.27000000000001</v>
      </c>
      <c r="D16" t="s">
        <v>121</v>
      </c>
      <c r="E16">
        <f>E11*0.07</f>
        <v>158.27000000000001</v>
      </c>
      <c r="G16" t="s">
        <v>121</v>
      </c>
      <c r="H16">
        <f>H11*0.07</f>
        <v>158.27000000000001</v>
      </c>
      <c r="J16" t="s">
        <v>122</v>
      </c>
      <c r="K16">
        <f>K12*K3</f>
        <v>1202.3100000000002</v>
      </c>
      <c r="M16" t="s">
        <v>123</v>
      </c>
      <c r="N16" s="10">
        <f>N11*N4</f>
        <v>1129.95</v>
      </c>
      <c r="P16" t="s">
        <v>109</v>
      </c>
      <c r="Q16">
        <f>Q8-Q15</f>
        <v>1726.6599999999999</v>
      </c>
    </row>
    <row r="17" spans="1:17" x14ac:dyDescent="0.3">
      <c r="A17" t="s">
        <v>124</v>
      </c>
      <c r="B17">
        <f>B12*B4</f>
        <v>845.1</v>
      </c>
      <c r="D17" t="s">
        <v>124</v>
      </c>
      <c r="E17">
        <f>E12*E4</f>
        <v>845.1</v>
      </c>
      <c r="G17" t="s">
        <v>124</v>
      </c>
      <c r="H17">
        <f>H12*H4</f>
        <v>845.1</v>
      </c>
      <c r="J17" t="s">
        <v>104</v>
      </c>
      <c r="K17">
        <f>365*K4</f>
        <v>193.45000000000002</v>
      </c>
      <c r="M17" t="s">
        <v>125</v>
      </c>
      <c r="N17">
        <f>N5*365</f>
        <v>193.45000000000002</v>
      </c>
    </row>
    <row r="18" spans="1:17" x14ac:dyDescent="0.3">
      <c r="A18" t="s">
        <v>126</v>
      </c>
      <c r="B18">
        <f>B3*B9</f>
        <v>228.20000000000002</v>
      </c>
      <c r="D18" t="s">
        <v>126</v>
      </c>
      <c r="E18">
        <f>E3*E9</f>
        <v>195.6</v>
      </c>
      <c r="G18" t="s">
        <v>126</v>
      </c>
      <c r="H18">
        <f>H3*H9</f>
        <v>244.5</v>
      </c>
      <c r="J18" t="s">
        <v>127</v>
      </c>
      <c r="K18">
        <f>K17+K16+K15</f>
        <v>1877.2600000000002</v>
      </c>
      <c r="M18" t="s">
        <v>128</v>
      </c>
      <c r="N18" s="10">
        <f>N17+N16+N15+N14</f>
        <v>1963.17</v>
      </c>
      <c r="P18" t="s">
        <v>129</v>
      </c>
      <c r="Q18">
        <f>Q11-Q13</f>
        <v>3097</v>
      </c>
    </row>
    <row r="19" spans="1:17" x14ac:dyDescent="0.3">
      <c r="A19" t="s">
        <v>130</v>
      </c>
      <c r="B19">
        <f>B17+B16+B14</f>
        <v>1196.82</v>
      </c>
      <c r="D19" t="s">
        <v>130</v>
      </c>
      <c r="E19">
        <f>E17+E16+E14</f>
        <v>1196.82</v>
      </c>
      <c r="G19" t="s">
        <v>130</v>
      </c>
      <c r="H19">
        <f>H17+H16+H14</f>
        <v>1196.82</v>
      </c>
      <c r="P19" t="s">
        <v>131</v>
      </c>
      <c r="Q19">
        <f>Q11-Q15</f>
        <v>4084.66</v>
      </c>
    </row>
    <row r="20" spans="1:17" x14ac:dyDescent="0.3">
      <c r="A20" t="s">
        <v>132</v>
      </c>
      <c r="B20">
        <f>B19-B18</f>
        <v>968.61999999999989</v>
      </c>
      <c r="D20" t="s">
        <v>132</v>
      </c>
      <c r="E20">
        <f>E19-E18</f>
        <v>1001.2199999999999</v>
      </c>
      <c r="G20" t="s">
        <v>132</v>
      </c>
      <c r="H20">
        <f>H19-H18</f>
        <v>952.31999999999994</v>
      </c>
      <c r="J20" t="s">
        <v>133</v>
      </c>
      <c r="M20" t="s">
        <v>133</v>
      </c>
      <c r="P20" t="s">
        <v>134</v>
      </c>
      <c r="Q20">
        <f>Q18-Q15</f>
        <v>1882.6599999999999</v>
      </c>
    </row>
    <row r="21" spans="1:17" x14ac:dyDescent="0.3">
      <c r="J21" t="s">
        <v>135</v>
      </c>
      <c r="K21">
        <f>K6*K3</f>
        <v>2069.0100000000002</v>
      </c>
      <c r="M21" t="s">
        <v>135</v>
      </c>
      <c r="N21">
        <v>2607.1200000000003</v>
      </c>
    </row>
    <row r="22" spans="1:17" x14ac:dyDescent="0.3">
      <c r="A22" t="s">
        <v>133</v>
      </c>
      <c r="D22" t="s">
        <v>133</v>
      </c>
      <c r="G22" t="s">
        <v>133</v>
      </c>
      <c r="J22" t="s">
        <v>127</v>
      </c>
      <c r="K22">
        <f>K21+K17</f>
        <v>2262.46</v>
      </c>
      <c r="M22" t="s">
        <v>127</v>
      </c>
      <c r="N22">
        <v>2800.57</v>
      </c>
      <c r="P22" t="s">
        <v>136</v>
      </c>
      <c r="Q22">
        <f>Q6*145</f>
        <v>76.850000000000009</v>
      </c>
    </row>
    <row r="23" spans="1:17" x14ac:dyDescent="0.3">
      <c r="A23" t="s">
        <v>135</v>
      </c>
      <c r="B23">
        <f>B7*B4</f>
        <v>1455.5700000000002</v>
      </c>
      <c r="D23" t="s">
        <v>135</v>
      </c>
      <c r="E23">
        <f>E7*E4</f>
        <v>1455.5700000000002</v>
      </c>
      <c r="G23" t="s">
        <v>135</v>
      </c>
      <c r="H23">
        <f>H7*H4</f>
        <v>1455.5700000000002</v>
      </c>
      <c r="J23" t="s">
        <v>137</v>
      </c>
      <c r="K23">
        <f>K22-K18</f>
        <v>385.19999999999982</v>
      </c>
      <c r="M23" t="s">
        <v>137</v>
      </c>
      <c r="N23">
        <f>N22-N18</f>
        <v>837.40000000000009</v>
      </c>
    </row>
    <row r="24" spans="1:17" x14ac:dyDescent="0.3">
      <c r="A24" t="s">
        <v>127</v>
      </c>
      <c r="B24" s="11">
        <f>B23+B14</f>
        <v>1649.0200000000002</v>
      </c>
      <c r="C24" s="11"/>
      <c r="D24" t="s">
        <v>127</v>
      </c>
      <c r="E24" s="11">
        <f>E23+E14</f>
        <v>1649.0200000000002</v>
      </c>
      <c r="F24" s="11"/>
      <c r="G24" t="s">
        <v>127</v>
      </c>
      <c r="H24" s="11">
        <f>H23+H14</f>
        <v>1649.0200000000002</v>
      </c>
      <c r="J24" t="s">
        <v>138</v>
      </c>
      <c r="K24">
        <f>K18/K22</f>
        <v>0.82974284628236528</v>
      </c>
      <c r="M24" t="s">
        <v>138</v>
      </c>
      <c r="N24">
        <f>N18/N22</f>
        <v>0.70098944143513642</v>
      </c>
      <c r="P24" t="s">
        <v>139</v>
      </c>
    </row>
    <row r="25" spans="1:17" x14ac:dyDescent="0.3">
      <c r="A25" t="s">
        <v>137</v>
      </c>
      <c r="B25" s="11">
        <f>B24-B19</f>
        <v>452.20000000000027</v>
      </c>
      <c r="C25" s="11"/>
      <c r="D25" t="s">
        <v>137</v>
      </c>
      <c r="E25" s="11">
        <f>E24-E19</f>
        <v>452.20000000000027</v>
      </c>
      <c r="F25" s="11"/>
      <c r="G25" t="s">
        <v>137</v>
      </c>
      <c r="H25" s="11">
        <f>H24-H19</f>
        <v>452.20000000000027</v>
      </c>
      <c r="P25" t="s">
        <v>121</v>
      </c>
      <c r="Q25" s="10">
        <f>Q15*Q2</f>
        <v>85.003800000000012</v>
      </c>
    </row>
    <row r="26" spans="1:17" x14ac:dyDescent="0.3">
      <c r="A26" t="s">
        <v>140</v>
      </c>
      <c r="B26" s="12">
        <f>B19/B24</f>
        <v>0.72577652181295549</v>
      </c>
      <c r="C26" s="12"/>
      <c r="D26" t="s">
        <v>140</v>
      </c>
      <c r="E26" s="12">
        <f>E19/E24</f>
        <v>0.72577652181295549</v>
      </c>
      <c r="F26" s="12"/>
      <c r="G26" t="s">
        <v>140</v>
      </c>
      <c r="H26" s="12">
        <f>H19/H24</f>
        <v>0.72577652181295549</v>
      </c>
      <c r="P26" t="s">
        <v>141</v>
      </c>
      <c r="Q26" s="10">
        <f>Q16*Q5</f>
        <v>466.19819999999999</v>
      </c>
    </row>
    <row r="27" spans="1:17" x14ac:dyDescent="0.3">
      <c r="P27" t="s">
        <v>126</v>
      </c>
      <c r="Q27" s="10">
        <f>Q12*Q4</f>
        <v>48.482000000000006</v>
      </c>
    </row>
    <row r="28" spans="1:17" x14ac:dyDescent="0.3">
      <c r="A28" t="s">
        <v>142</v>
      </c>
      <c r="D28" t="s">
        <v>142</v>
      </c>
      <c r="G28" t="s">
        <v>142</v>
      </c>
      <c r="P28" t="s">
        <v>143</v>
      </c>
      <c r="Q28" s="10">
        <f>Q26+Q25+Q22</f>
        <v>628.05200000000002</v>
      </c>
    </row>
    <row r="29" spans="1:17" x14ac:dyDescent="0.3">
      <c r="A29" t="s">
        <v>105</v>
      </c>
      <c r="B29">
        <v>9656</v>
      </c>
      <c r="D29" t="s">
        <v>105</v>
      </c>
      <c r="E29">
        <v>9656</v>
      </c>
      <c r="G29" t="s">
        <v>105</v>
      </c>
      <c r="H29">
        <v>9656</v>
      </c>
      <c r="P29" t="s">
        <v>132</v>
      </c>
      <c r="Q29" s="10">
        <f>Q28-Q27</f>
        <v>579.57000000000005</v>
      </c>
    </row>
    <row r="30" spans="1:17" x14ac:dyDescent="0.3">
      <c r="A30" t="s">
        <v>107</v>
      </c>
      <c r="B30">
        <f>B11</f>
        <v>2261</v>
      </c>
      <c r="D30" t="s">
        <v>107</v>
      </c>
      <c r="E30">
        <f>E11</f>
        <v>2261</v>
      </c>
      <c r="G30" t="s">
        <v>107</v>
      </c>
      <c r="H30">
        <f>H11</f>
        <v>2261</v>
      </c>
    </row>
    <row r="31" spans="1:17" x14ac:dyDescent="0.3">
      <c r="A31" t="s">
        <v>109</v>
      </c>
      <c r="B31">
        <f>B29-B30</f>
        <v>7395</v>
      </c>
      <c r="D31" t="s">
        <v>109</v>
      </c>
      <c r="E31">
        <f>E29-E30</f>
        <v>7395</v>
      </c>
      <c r="G31" t="s">
        <v>109</v>
      </c>
      <c r="H31">
        <f>H29-H30</f>
        <v>7395</v>
      </c>
      <c r="P31" t="s">
        <v>144</v>
      </c>
      <c r="Q31" s="11">
        <f>Q22+(Q11*Q5)</f>
        <v>1507.58</v>
      </c>
    </row>
    <row r="32" spans="1:17" x14ac:dyDescent="0.3">
      <c r="A32" t="s">
        <v>111</v>
      </c>
      <c r="B32">
        <v>3210</v>
      </c>
      <c r="D32" t="s">
        <v>111</v>
      </c>
      <c r="E32">
        <v>3210</v>
      </c>
      <c r="G32" t="s">
        <v>111</v>
      </c>
      <c r="H32">
        <v>3210</v>
      </c>
    </row>
    <row r="33" spans="1:17" x14ac:dyDescent="0.3">
      <c r="A33" t="s">
        <v>113</v>
      </c>
      <c r="B33">
        <f>B31-B32</f>
        <v>4185</v>
      </c>
      <c r="D33" t="s">
        <v>113</v>
      </c>
      <c r="E33">
        <f>E31-E32</f>
        <v>4185</v>
      </c>
      <c r="G33" t="s">
        <v>113</v>
      </c>
      <c r="H33">
        <f>H31-H32</f>
        <v>4185</v>
      </c>
      <c r="P33" t="s">
        <v>145</v>
      </c>
    </row>
    <row r="34" spans="1:17" x14ac:dyDescent="0.3">
      <c r="P34" t="s">
        <v>121</v>
      </c>
      <c r="Q34">
        <f>Q15*Q2</f>
        <v>85.003800000000012</v>
      </c>
    </row>
    <row r="35" spans="1:17" x14ac:dyDescent="0.3">
      <c r="A35" t="s">
        <v>121</v>
      </c>
      <c r="B35">
        <f>B30*0.07</f>
        <v>158.27000000000001</v>
      </c>
      <c r="G35" t="s">
        <v>121</v>
      </c>
      <c r="H35">
        <f>H30*0.07</f>
        <v>158.27000000000001</v>
      </c>
      <c r="P35" t="s">
        <v>146</v>
      </c>
      <c r="Q35">
        <f>Q19*Q5</f>
        <v>1102.8582000000001</v>
      </c>
    </row>
    <row r="36" spans="1:17" x14ac:dyDescent="0.3">
      <c r="A36" t="s">
        <v>120</v>
      </c>
      <c r="B36">
        <f>B32*B4</f>
        <v>866.7</v>
      </c>
      <c r="G36" t="s">
        <v>120</v>
      </c>
      <c r="H36">
        <f>H32*H4</f>
        <v>866.7</v>
      </c>
      <c r="P36" t="s">
        <v>127</v>
      </c>
      <c r="Q36">
        <f>Q35+Q34+Q22</f>
        <v>1264.712</v>
      </c>
    </row>
    <row r="37" spans="1:17" x14ac:dyDescent="0.3">
      <c r="A37" t="s">
        <v>147</v>
      </c>
      <c r="B37">
        <f>B33*B4</f>
        <v>1129.95</v>
      </c>
      <c r="G37" t="s">
        <v>147</v>
      </c>
      <c r="H37">
        <f>H33*H4</f>
        <v>1129.95</v>
      </c>
    </row>
    <row r="38" spans="1:17" x14ac:dyDescent="0.3">
      <c r="A38" t="s">
        <v>127</v>
      </c>
      <c r="B38">
        <f>B35+B36+B37+B14</f>
        <v>2348.37</v>
      </c>
      <c r="G38" t="s">
        <v>127</v>
      </c>
      <c r="H38">
        <f>H35+H36+H37+H14</f>
        <v>2348.37</v>
      </c>
      <c r="P38" t="s">
        <v>148</v>
      </c>
    </row>
    <row r="39" spans="1:17" x14ac:dyDescent="0.3">
      <c r="P39" t="s">
        <v>120</v>
      </c>
      <c r="Q39">
        <f>Q13*Q3</f>
        <v>330.3</v>
      </c>
    </row>
    <row r="40" spans="1:17" x14ac:dyDescent="0.3">
      <c r="A40" t="s">
        <v>133</v>
      </c>
      <c r="G40" t="s">
        <v>133</v>
      </c>
      <c r="P40" t="s">
        <v>149</v>
      </c>
      <c r="Q40">
        <f>Q18*Q5</f>
        <v>836.19</v>
      </c>
    </row>
    <row r="41" spans="1:17" x14ac:dyDescent="0.3">
      <c r="A41" t="s">
        <v>135</v>
      </c>
      <c r="B41">
        <f>B29*B4</f>
        <v>2607.1200000000003</v>
      </c>
      <c r="G41" t="s">
        <v>135</v>
      </c>
      <c r="H41">
        <f>H29*H4</f>
        <v>2607.1200000000003</v>
      </c>
      <c r="P41" t="s">
        <v>127</v>
      </c>
      <c r="Q41">
        <f>Q40+Q39+Q27</f>
        <v>1214.972</v>
      </c>
    </row>
    <row r="42" spans="1:17" x14ac:dyDescent="0.3">
      <c r="A42" t="s">
        <v>127</v>
      </c>
      <c r="B42">
        <f>(B29*B4)+B14</f>
        <v>2800.57</v>
      </c>
      <c r="G42" t="s">
        <v>127</v>
      </c>
      <c r="H42">
        <f>(H29*H4)+H14</f>
        <v>2800.57</v>
      </c>
    </row>
    <row r="43" spans="1:17" x14ac:dyDescent="0.3">
      <c r="A43" t="s">
        <v>137</v>
      </c>
      <c r="B43">
        <f>B42-B38</f>
        <v>452.20000000000027</v>
      </c>
      <c r="G43" t="s">
        <v>137</v>
      </c>
      <c r="H43">
        <f>H42-H38</f>
        <v>452.20000000000027</v>
      </c>
    </row>
    <row r="44" spans="1:17" x14ac:dyDescent="0.3">
      <c r="A44" t="s">
        <v>140</v>
      </c>
      <c r="B44">
        <f>B38/B42</f>
        <v>0.83853287009430211</v>
      </c>
      <c r="G44" t="s">
        <v>140</v>
      </c>
      <c r="H44">
        <f>H38/H42</f>
        <v>0.83853287009430211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OVO_tariffs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Woodward</dc:creator>
  <cp:keywords/>
  <dc:description/>
  <cp:lastModifiedBy>Adam Wright</cp:lastModifiedBy>
  <cp:revision/>
  <dcterms:created xsi:type="dcterms:W3CDTF">2025-03-28T14:09:51Z</dcterms:created>
  <dcterms:modified xsi:type="dcterms:W3CDTF">2025-04-10T13:45:36Z</dcterms:modified>
  <cp:category/>
  <cp:contentStatus/>
</cp:coreProperties>
</file>